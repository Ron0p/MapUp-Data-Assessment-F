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1a971bceda53e/Desktop/Mapup/MapUp-Data-Assessment-F/"/>
    </mc:Choice>
  </mc:AlternateContent>
  <xr:revisionPtr revIDLastSave="2" documentId="13_ncr:1_{48EB4397-F178-E54E-B28D-22A41FCA72D2}" xr6:coauthVersionLast="47" xr6:coauthVersionMax="47" xr10:uidLastSave="{5F96ADB2-758A-4496-AF9B-FA6BBF358A92}"/>
  <bookViews>
    <workbookView xWindow="-108" yWindow="-108" windowWidth="23256" windowHeight="13176" tabRatio="849" firstSheet="1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20" l="1"/>
  <c r="E34" i="20"/>
  <c r="E33" i="20"/>
  <c r="E32" i="20"/>
  <c r="E31" i="20"/>
  <c r="E30" i="20"/>
  <c r="E29" i="20"/>
  <c r="E28" i="20"/>
  <c r="E27" i="20"/>
  <c r="E26" i="20"/>
  <c r="E25" i="20"/>
  <c r="E24" i="20"/>
  <c r="E23" i="20"/>
  <c r="D32" i="20"/>
  <c r="D31" i="20"/>
  <c r="D30" i="20"/>
  <c r="D29" i="20"/>
  <c r="D33" i="20"/>
  <c r="D34" i="20"/>
  <c r="D35" i="20"/>
  <c r="D28" i="20"/>
  <c r="D27" i="20"/>
  <c r="D26" i="20"/>
  <c r="D25" i="20"/>
  <c r="D23" i="20"/>
  <c r="D24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C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7" i="16"/>
  <c r="B16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29" i="18"/>
  <c r="C29" i="18"/>
  <c r="F29" i="18"/>
  <c r="E29" i="18"/>
  <c r="E30" i="18"/>
  <c r="F30" i="18"/>
  <c r="D30" i="18"/>
  <c r="D29" i="18"/>
  <c r="D28" i="18"/>
  <c r="F28" i="18"/>
  <c r="E28" i="18"/>
  <c r="C30" i="18"/>
  <c r="C28" i="18"/>
  <c r="B30" i="18"/>
  <c r="B28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8" i="18"/>
  <c r="B7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17" i="1"/>
</calcChain>
</file>

<file path=xl/sharedStrings.xml><?xml version="1.0" encoding="utf-8"?>
<sst xmlns="http://schemas.openxmlformats.org/spreadsheetml/2006/main" count="332" uniqueCount="186">
  <si>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</si>
  <si>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</si>
  <si>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</si>
  <si>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</si>
  <si>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</si>
  <si>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</si>
  <si>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</si>
  <si>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</si>
  <si>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</si>
  <si>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</si>
  <si>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</si>
  <si>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</si>
  <si>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</si>
  <si>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</si>
  <si>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</si>
  <si>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</si>
  <si>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</si>
  <si>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</si>
  <si>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</si>
  <si>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</si>
  <si>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</si>
  <si>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</si>
  <si>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</si>
  <si>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</si>
  <si>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</si>
  <si>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</si>
  <si>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</si>
  <si>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</si>
  <si>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</si>
  <si>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</si>
  <si>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</si>
  <si>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</si>
  <si>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</si>
  <si>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</si>
  <si>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</si>
  <si>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</si>
  <si>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</si>
  <si>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</si>
  <si>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</si>
  <si>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</si>
  <si>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</si>
  <si>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</si>
  <si>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</si>
  <si>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</si>
  <si>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</si>
  <si>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</si>
  <si>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</si>
  <si>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</si>
  <si>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</si>
  <si>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</si>
  <si>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</si>
  <si>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</si>
  <si>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</si>
  <si>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</si>
  <si>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</si>
  <si>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</si>
  <si>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</si>
  <si>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</si>
  <si>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</si>
  <si>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</si>
  <si>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</si>
  <si>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</si>
  <si>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</si>
  <si>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</si>
  <si>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</si>
  <si>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</si>
  <si>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</si>
  <si>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</si>
  <si>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</si>
  <si>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</si>
  <si>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</si>
  <si>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</si>
  <si>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</si>
  <si>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</si>
  <si>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</si>
  <si>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</si>
  <si>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</si>
  <si>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</si>
  <si>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</si>
  <si>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</si>
  <si>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</si>
  <si>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</si>
  <si>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</si>
  <si>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</si>
  <si>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</si>
  <si>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</si>
  <si>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</si>
  <si>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</si>
  <si>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</si>
  <si>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</si>
  <si>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</si>
  <si>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</si>
  <si>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</si>
  <si>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</si>
  <si>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</si>
  <si>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</si>
  <si>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</si>
  <si>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</si>
  <si>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</si>
  <si>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</si>
  <si>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</si>
  <si>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</si>
  <si>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</si>
  <si>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</si>
  <si>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</si>
  <si>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</si>
  <si>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</si>
  <si>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</si>
  <si>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</si>
  <si>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</si>
  <si>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</si>
  <si>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</si>
  <si>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</si>
  <si>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</si>
  <si>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</si>
  <si>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</si>
  <si>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</si>
  <si>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</si>
  <si>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</si>
  <si>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</si>
  <si>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</si>
  <si>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</si>
  <si>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</si>
  <si>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</si>
  <si>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</si>
  <si>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</si>
  <si>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</si>
  <si>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</si>
  <si>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</si>
  <si>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</si>
  <si>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</si>
  <si>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</si>
  <si>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</si>
  <si>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</si>
  <si>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</si>
  <si>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</si>
  <si>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</si>
  <si>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</si>
  <si>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</si>
  <si>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</si>
  <si>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</si>
  <si>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</si>
  <si>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</si>
  <si>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</si>
  <si>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</si>
  <si>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</si>
  <si>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</si>
  <si>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</si>
  <si>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</si>
  <si>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</si>
  <si>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</si>
  <si>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</si>
  <si>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</si>
  <si>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</si>
  <si>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</si>
  <si>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</si>
  <si>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</si>
  <si>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</si>
  <si>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</si>
  <si>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</si>
  <si>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</si>
  <si>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</si>
  <si>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</si>
  <si>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</si>
  <si>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</si>
  <si>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</si>
  <si>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</si>
  <si>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</si>
  <si>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</si>
  <si>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</si>
  <si>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</si>
  <si>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</si>
  <si>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</si>
  <si>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</si>
  <si>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</si>
  <si>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</si>
  <si>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</si>
  <si>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</si>
  <si>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we will use left ,right, search,mid,trim function </t>
  </si>
  <si>
    <t>We will nested function auquiring the desired results</t>
  </si>
  <si>
    <t>we will use sum and iferror function</t>
  </si>
  <si>
    <t>iferror will replace #N/A errors with 20 and then sum the value</t>
  </si>
  <si>
    <t>we will use vlookup here</t>
  </si>
  <si>
    <t>val1</t>
  </si>
  <si>
    <t>val2</t>
  </si>
  <si>
    <t>I have got val 1 and val 2 value from table 2 after that value colum values comes from vlookup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</si>
</sst>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  <xf numFmtId="0" fontId="8" fillId="0" borderId="1" xfId="0" quotePrefix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3" t="s">
        <v>172</v>
      </c>
      <c r="B9" s="23" t="s">
        <v>170</v>
      </c>
    </row>
    <row r="10" spans="1:3" x14ac:dyDescent="0.3">
      <c r="A10" s="32" t="s">
        <v>173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171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zoomScaleNormal="100" workbookViewId="0">
      <pane ySplit="1" topLeftCell="A2" activePane="bottomLeft" state="frozen"/>
      <selection activeCell="B1" sqref="B1"/>
      <selection pane="bottomLeft" activeCell="C12" sqref="C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1" customWidth="1"/>
    <col min="5" max="5" width="9.21875" style="1" bestFit="1" customWidth="1"/>
    <col min="6" max="6" width="10.44140625" style="21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5" s="3" customFormat="1" ht="14.7" customHeight="1" x14ac:dyDescent="0.3">
      <c r="A1" s="24" t="s">
        <v>64</v>
      </c>
      <c r="B1" s="24" t="s">
        <v>43</v>
      </c>
      <c r="C1" s="24" t="s">
        <v>0</v>
      </c>
      <c r="D1" s="25" t="s">
        <v>1</v>
      </c>
      <c r="E1" s="24" t="s">
        <v>2</v>
      </c>
      <c r="F1" s="25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41" t="s">
        <v>106</v>
      </c>
      <c r="Y1" s="3" t="s">
        <v>160</v>
      </c>
    </row>
    <row r="2" spans="1:25" x14ac:dyDescent="0.3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5" x14ac:dyDescent="0.3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5" x14ac:dyDescent="0.3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  <c r="Y17" s="1">
        <f>SUMIF(H2:H100,"&gt;20")</f>
        <v>1473.0000000000002</v>
      </c>
    </row>
    <row r="18" spans="1:25" x14ac:dyDescent="0.3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  <c r="Y18" s="1">
        <f t="shared" ref="Y18:Y40" si="0">SUMIF(H3:H101,"&gt;20")</f>
        <v>1473.0000000000002</v>
      </c>
    </row>
    <row r="19" spans="1:25" x14ac:dyDescent="0.3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  <c r="Y19" s="1">
        <f t="shared" si="0"/>
        <v>1473.0000000000002</v>
      </c>
    </row>
    <row r="20" spans="1:25" x14ac:dyDescent="0.3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  <c r="Y20" s="1">
        <f t="shared" si="0"/>
        <v>1473.0000000000002</v>
      </c>
    </row>
    <row r="21" spans="1:25" x14ac:dyDescent="0.3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  <c r="Y21" s="1">
        <f t="shared" si="0"/>
        <v>1473.0000000000002</v>
      </c>
    </row>
    <row r="22" spans="1:25" x14ac:dyDescent="0.3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  <c r="Y22" s="1">
        <f t="shared" si="0"/>
        <v>1473.0000000000002</v>
      </c>
    </row>
    <row r="23" spans="1:25" x14ac:dyDescent="0.3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  <c r="Y23" s="1">
        <f t="shared" si="0"/>
        <v>1473.0000000000002</v>
      </c>
    </row>
    <row r="24" spans="1:25" x14ac:dyDescent="0.3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  <c r="Y24" s="1">
        <f t="shared" si="0"/>
        <v>1473.0000000000002</v>
      </c>
    </row>
    <row r="25" spans="1:25" x14ac:dyDescent="0.3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  <c r="Y25" s="1">
        <f t="shared" si="0"/>
        <v>1473.0000000000002</v>
      </c>
    </row>
    <row r="26" spans="1:25" x14ac:dyDescent="0.3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  <c r="Y26" s="1">
        <f t="shared" si="0"/>
        <v>1448.9000000000003</v>
      </c>
    </row>
    <row r="27" spans="1:25" x14ac:dyDescent="0.3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  <c r="Y27" s="1">
        <f t="shared" si="0"/>
        <v>1421.4000000000003</v>
      </c>
    </row>
    <row r="28" spans="1:25" x14ac:dyDescent="0.3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  <c r="Y28" s="1">
        <f t="shared" si="0"/>
        <v>1421.4000000000003</v>
      </c>
    </row>
    <row r="29" spans="1:25" x14ac:dyDescent="0.3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  <c r="Y29" s="1">
        <f t="shared" si="0"/>
        <v>1389.3000000000002</v>
      </c>
    </row>
    <row r="30" spans="1:25" x14ac:dyDescent="0.3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  <c r="Y30" s="1">
        <f t="shared" si="0"/>
        <v>1354.6</v>
      </c>
    </row>
    <row r="31" spans="1:25" x14ac:dyDescent="0.3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  <c r="Y31" s="1">
        <f t="shared" si="0"/>
        <v>1315.3</v>
      </c>
    </row>
    <row r="32" spans="1:25" x14ac:dyDescent="0.3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  <c r="Y32" s="1">
        <f t="shared" si="0"/>
        <v>1274.3</v>
      </c>
    </row>
    <row r="33" spans="1:25" x14ac:dyDescent="0.3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  <c r="Y33" s="1">
        <f t="shared" si="0"/>
        <v>1232</v>
      </c>
    </row>
    <row r="34" spans="1:25" x14ac:dyDescent="0.3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  <c r="Y34" s="1">
        <f t="shared" si="0"/>
        <v>1188.6999999999998</v>
      </c>
    </row>
    <row r="35" spans="1:25" x14ac:dyDescent="0.3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  <c r="Y35" s="1">
        <f t="shared" si="0"/>
        <v>1143.1999999999998</v>
      </c>
    </row>
    <row r="36" spans="1:25" x14ac:dyDescent="0.3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  <c r="Y36" s="1">
        <f t="shared" si="0"/>
        <v>1093.0999999999999</v>
      </c>
    </row>
    <row r="37" spans="1:25" x14ac:dyDescent="0.3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  <c r="Y37" s="1">
        <f t="shared" si="0"/>
        <v>1040.8</v>
      </c>
    </row>
    <row r="38" spans="1:25" x14ac:dyDescent="0.3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  <c r="Y38" s="1">
        <f t="shared" si="0"/>
        <v>986.2</v>
      </c>
    </row>
    <row r="39" spans="1:25" x14ac:dyDescent="0.3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  <c r="Y39" s="1">
        <f t="shared" si="0"/>
        <v>929</v>
      </c>
    </row>
    <row r="40" spans="1:25" x14ac:dyDescent="0.3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  <c r="Y40" s="1">
        <f t="shared" si="0"/>
        <v>869.8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sqref="A1:E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9" zoomScaleNormal="100" workbookViewId="0">
      <selection activeCell="D35" sqref="D3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165</v>
      </c>
    </row>
    <row r="2" spans="1:7" s="38" customFormat="1" ht="21" x14ac:dyDescent="0.4">
      <c r="B2" s="38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5" t="s">
        <v>163</v>
      </c>
      <c r="B4" s="1"/>
      <c r="C4" s="1"/>
      <c r="D4" s="1"/>
      <c r="E4" s="1"/>
      <c r="F4" s="1"/>
      <c r="G4" s="1"/>
    </row>
    <row r="5" spans="1:7" ht="14.4" x14ac:dyDescent="0.3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20" t="s">
        <v>77</v>
      </c>
    </row>
    <row r="6" spans="1:7" ht="14.4" x14ac:dyDescent="0.3">
      <c r="A6" s="7" t="s">
        <v>40</v>
      </c>
      <c r="B6" s="10">
        <f>VLOOKUP(A6,Dataset!A1:Y40,7,FALSE)</f>
        <v>2.7</v>
      </c>
      <c r="C6" s="10">
        <f>VLOOKUP(A6,Dataset!A1:Y40,14,FALSE)</f>
        <v>7.6</v>
      </c>
      <c r="D6" s="10">
        <f>VLOOKUP($A6,Dataset!A1:Y40,18,FALSE)</f>
        <v>4.2</v>
      </c>
      <c r="E6" s="10">
        <f>VLOOKUP($A6,Dataset!A1:Z40,20,FALSE)</f>
        <v>8.9</v>
      </c>
      <c r="F6" s="10">
        <f>VLOOKUP($A6,Dataset!A1:AA40,22,FALSE)</f>
        <v>4.2</v>
      </c>
    </row>
    <row r="7" spans="1:7" ht="14.4" x14ac:dyDescent="0.3">
      <c r="A7" s="7" t="s">
        <v>4</v>
      </c>
      <c r="B7" s="10">
        <f>VLOOKUP(A7,Dataset!A2:Y41,7,FALSE)</f>
        <v>2.7</v>
      </c>
      <c r="C7" s="10">
        <f>VLOOKUP(A7,Dataset!A2:Y41,14,FALSE)</f>
        <v>7.6</v>
      </c>
      <c r="D7" s="10">
        <f>VLOOKUP($A7,Dataset!A2:Y41,18,FALSE)</f>
        <v>4.2</v>
      </c>
      <c r="E7" s="10">
        <f>VLOOKUP($A7,Dataset!A2:Z41,20,FALSE)</f>
        <v>8.9</v>
      </c>
      <c r="F7" s="10">
        <f>VLOOKUP($A7,Dataset!A2:AA41,22,FALSE)</f>
        <v>4.2</v>
      </c>
    </row>
    <row r="8" spans="1:7" ht="14.4" x14ac:dyDescent="0.3">
      <c r="A8" s="7" t="s">
        <v>7</v>
      </c>
      <c r="B8" s="10">
        <f>VLOOKUP(A8,Dataset!A3:Y42,7,FALSE)</f>
        <v>3.6</v>
      </c>
      <c r="C8" s="10">
        <f>VLOOKUP(A8,Dataset!A3:Y42,14,FALSE)</f>
        <v>11.1</v>
      </c>
      <c r="D8" s="10">
        <f>VLOOKUP($A8,Dataset!A3:Y42,18,FALSE)</f>
        <v>5.8</v>
      </c>
      <c r="E8" s="10">
        <f>VLOOKUP($A8,Dataset!A3:Z42,20,FALSE)</f>
        <v>12.2</v>
      </c>
      <c r="F8" s="10">
        <f>VLOOKUP($A8,Dataset!A3:AA42,22,FALSE)</f>
        <v>5.8</v>
      </c>
    </row>
    <row r="9" spans="1:7" ht="14.4" x14ac:dyDescent="0.3">
      <c r="A9" s="7" t="s">
        <v>8</v>
      </c>
      <c r="B9" s="10">
        <f>VLOOKUP(A9,Dataset!A4:Y43,7,FALSE)</f>
        <v>4.9000000000000004</v>
      </c>
      <c r="C9" s="10">
        <f>VLOOKUP(A9,Dataset!A4:Y43,14,FALSE)</f>
        <v>13.3</v>
      </c>
      <c r="D9" s="10">
        <f>VLOOKUP($A9,Dataset!A4:Y43,18,FALSE)</f>
        <v>8.1</v>
      </c>
      <c r="E9" s="10">
        <f>VLOOKUP($A9,Dataset!A4:Z43,20,FALSE)</f>
        <v>17</v>
      </c>
      <c r="F9" s="10">
        <f>VLOOKUP($A9,Dataset!A4:AA43,22,FALSE)</f>
        <v>8.1</v>
      </c>
    </row>
    <row r="10" spans="1:7" ht="14.4" x14ac:dyDescent="0.3">
      <c r="A10" s="7" t="s">
        <v>11</v>
      </c>
      <c r="B10" s="10">
        <f>VLOOKUP(A10,Dataset!A5:Y44,7,FALSE)</f>
        <v>9.4</v>
      </c>
      <c r="C10" s="10">
        <f>VLOOKUP(A10,Dataset!A5:Y44,14,FALSE)</f>
        <v>28.3</v>
      </c>
      <c r="D10" s="10">
        <f>VLOOKUP($A10,Dataset!A5:Y44,18,FALSE)</f>
        <v>16.100000000000001</v>
      </c>
      <c r="E10" s="10">
        <f>VLOOKUP($A10,Dataset!A5:Z44,20,FALSE)</f>
        <v>32.799999999999997</v>
      </c>
      <c r="F10" s="10">
        <f>VLOOKUP($A10,Dataset!A5:AA44,22,FALSE)</f>
        <v>16.100000000000001</v>
      </c>
    </row>
    <row r="11" spans="1:7" ht="14.4" x14ac:dyDescent="0.3">
      <c r="A11" s="7" t="s">
        <v>12</v>
      </c>
      <c r="B11" s="10">
        <f>VLOOKUP(A11,Dataset!A6:Y45,7,FALSE)</f>
        <v>11.6</v>
      </c>
      <c r="C11" s="10">
        <f>VLOOKUP(A11,Dataset!A6:Y45,14,FALSE)</f>
        <v>35.200000000000003</v>
      </c>
      <c r="D11" s="10">
        <f>VLOOKUP($A11,Dataset!A6:Y45,18,FALSE)</f>
        <v>21.3</v>
      </c>
      <c r="E11" s="10">
        <f>VLOOKUP($A11,Dataset!A6:Z45,20,FALSE)</f>
        <v>43</v>
      </c>
      <c r="F11" s="10">
        <f>VLOOKUP($A11,Dataset!A6:AA45,22,FALSE)</f>
        <v>21.3</v>
      </c>
    </row>
    <row r="12" spans="1:7" ht="14.4" x14ac:dyDescent="0.3">
      <c r="A12" s="7" t="s">
        <v>14</v>
      </c>
      <c r="B12" s="10">
        <f>VLOOKUP(A12,Dataset!A7:Y46,7,FALSE)</f>
        <v>18.399999999999999</v>
      </c>
      <c r="C12" s="10">
        <f>VLOOKUP(A12,Dataset!A7:Y46,14,FALSE)</f>
        <v>55.6</v>
      </c>
      <c r="D12" s="10">
        <f>VLOOKUP($A12,Dataset!A7:Y46,18,FALSE)</f>
        <v>33.799999999999997</v>
      </c>
      <c r="E12" s="10">
        <f>VLOOKUP($A12,Dataset!A7:Z46,20,FALSE)</f>
        <v>67.900000000000006</v>
      </c>
      <c r="F12" s="10">
        <f>VLOOKUP($A12,Dataset!A7:AA46,22,FALSE)</f>
        <v>33.799999999999997</v>
      </c>
    </row>
    <row r="13" spans="1:7" ht="14.4" x14ac:dyDescent="0.3">
      <c r="A13" s="7" t="s">
        <v>15</v>
      </c>
      <c r="B13" s="10">
        <f>VLOOKUP(A13,Dataset!A8:Y47,7,FALSE)</f>
        <v>0</v>
      </c>
      <c r="C13" s="10">
        <f>VLOOKUP(A13,Dataset!A8:Y47,14,FALSE)</f>
        <v>0</v>
      </c>
      <c r="D13" s="10">
        <f>VLOOKUP($A13,Dataset!A8:Y47,18,FALSE)</f>
        <v>0</v>
      </c>
      <c r="E13" s="10">
        <f>VLOOKUP($A13,Dataset!A8:Z47,20,FALSE)</f>
        <v>0</v>
      </c>
      <c r="F13" s="10">
        <f>VLOOKUP($A13,Dataset!A8:AA47,22,FALSE)</f>
        <v>0</v>
      </c>
    </row>
    <row r="14" spans="1:7" ht="14.4" x14ac:dyDescent="0.3">
      <c r="A14" s="7" t="s">
        <v>16</v>
      </c>
      <c r="B14" s="10">
        <f>VLOOKUP(A14,Dataset!A9:Y48,7,FALSE)</f>
        <v>21.9</v>
      </c>
      <c r="C14" s="10">
        <f>VLOOKUP(A14,Dataset!A9:Y48,14,FALSE)</f>
        <v>61.5</v>
      </c>
      <c r="D14" s="10">
        <f>VLOOKUP($A14,Dataset!A9:Y48,18,FALSE)</f>
        <v>40.1</v>
      </c>
      <c r="E14" s="10">
        <f>VLOOKUP($A14,Dataset!A9:Z48,20,FALSE)</f>
        <v>76.599999999999994</v>
      </c>
      <c r="F14" s="10">
        <f>VLOOKUP($A14,Dataset!A9:AA48,22,FALSE)</f>
        <v>40.1</v>
      </c>
    </row>
    <row r="15" spans="1:7" ht="14.4" x14ac:dyDescent="0.3">
      <c r="A15" s="7" t="s">
        <v>18</v>
      </c>
      <c r="B15" s="10">
        <f>VLOOKUP(A15,Dataset!A10:Y49,7,FALSE)</f>
        <v>26.8</v>
      </c>
      <c r="C15" s="10">
        <f>VLOOKUP(A15,Dataset!A10:Y49,14,FALSE)</f>
        <v>79.599999999999994</v>
      </c>
      <c r="D15" s="10">
        <f>VLOOKUP($A15,Dataset!A10:Y49,18,FALSE)</f>
        <v>47.9</v>
      </c>
      <c r="E15" s="10">
        <f>VLOOKUP($A15,Dataset!A10:Z49,20,FALSE)</f>
        <v>96.8</v>
      </c>
      <c r="F15" s="10">
        <f>VLOOKUP($A15,Dataset!A10:AA49,22,FALSE)</f>
        <v>47.9</v>
      </c>
    </row>
    <row r="16" spans="1:7" ht="14.4" x14ac:dyDescent="0.3">
      <c r="A16" s="7" t="s">
        <v>20</v>
      </c>
      <c r="B16" s="10">
        <f>VLOOKUP(A16,Dataset!A11:Y50,7,FALSE)</f>
        <v>28.5</v>
      </c>
      <c r="C16" s="10">
        <f>VLOOKUP(A16,Dataset!A11:Y50,14,FALSE)</f>
        <v>85.4</v>
      </c>
      <c r="D16" s="10">
        <f>VLOOKUP($A16,Dataset!A11:Y50,18,FALSE)</f>
        <v>52.3</v>
      </c>
      <c r="E16" s="10">
        <f>VLOOKUP($A16,Dataset!A11:Z50,20,FALSE)</f>
        <v>106.1</v>
      </c>
      <c r="F16" s="10">
        <f>VLOOKUP($A16,Dataset!A11:AA50,22,FALSE)</f>
        <v>52.3</v>
      </c>
    </row>
    <row r="17" spans="1:6" ht="14.4" x14ac:dyDescent="0.3">
      <c r="A17" s="7" t="s">
        <v>22</v>
      </c>
      <c r="B17" s="10">
        <f>VLOOKUP(A17,Dataset!A12:Y51,7,FALSE)</f>
        <v>30.7</v>
      </c>
      <c r="C17" s="10">
        <f>VLOOKUP(A17,Dataset!A12:Y51,14,FALSE)</f>
        <v>92.1</v>
      </c>
      <c r="D17" s="10">
        <f>VLOOKUP($A17,Dataset!A12:Y51,18,FALSE)</f>
        <v>57</v>
      </c>
      <c r="E17" s="10">
        <f>VLOOKUP($A17,Dataset!A12:Z51,20,FALSE)</f>
        <v>115.1</v>
      </c>
      <c r="F17" s="10">
        <f>VLOOKUP($A17,Dataset!A12:AA51,22,FALSE)</f>
        <v>57</v>
      </c>
    </row>
    <row r="18" spans="1:6" ht="14.4" x14ac:dyDescent="0.3">
      <c r="A18" s="7" t="s">
        <v>23</v>
      </c>
      <c r="B18" s="10">
        <f>VLOOKUP(A18,Dataset!A13:Y52,7,FALSE)</f>
        <v>33.799999999999997</v>
      </c>
      <c r="C18" s="10">
        <f>VLOOKUP(A18,Dataset!A13:Y52,14,FALSE)</f>
        <v>101.3</v>
      </c>
      <c r="D18" s="10">
        <f>VLOOKUP($A18,Dataset!A13:Y52,18,FALSE)</f>
        <v>61.4</v>
      </c>
      <c r="E18" s="10">
        <f>VLOOKUP($A18,Dataset!A13:Z52,20,FALSE)</f>
        <v>124.4</v>
      </c>
      <c r="F18" s="10">
        <f>VLOOKUP($A18,Dataset!A13:AA52,22,FALSE)</f>
        <v>61.4</v>
      </c>
    </row>
    <row r="19" spans="1:6" ht="14.4" x14ac:dyDescent="0.3">
      <c r="A19" s="7" t="s">
        <v>24</v>
      </c>
      <c r="B19" s="10">
        <f>VLOOKUP(A19,Dataset!A14:Y53,7,FALSE)</f>
        <v>34.700000000000003</v>
      </c>
      <c r="C19" s="10">
        <f>VLOOKUP(A19,Dataset!A14:Y53,14,FALSE)</f>
        <v>106.1</v>
      </c>
      <c r="D19" s="10">
        <f>VLOOKUP($A19,Dataset!A14:Y53,18,FALSE)</f>
        <v>63.6</v>
      </c>
      <c r="E19" s="10">
        <f>VLOOKUP($A19,Dataset!A14:Z53,20,FALSE)</f>
        <v>128.6</v>
      </c>
      <c r="F19" s="10">
        <f>VLOOKUP($A19,Dataset!A14:AA53,22,FALSE)</f>
        <v>63.6</v>
      </c>
    </row>
    <row r="20" spans="1:6" ht="14.4" x14ac:dyDescent="0.3">
      <c r="A20" s="7" t="s">
        <v>28</v>
      </c>
      <c r="B20" s="10">
        <f>VLOOKUP(A20,Dataset!A15:Y54,7,FALSE)</f>
        <v>0</v>
      </c>
      <c r="C20" s="10">
        <f>VLOOKUP(A20,Dataset!A15:Y54,14,FALSE)</f>
        <v>0</v>
      </c>
      <c r="D20" s="10">
        <f>VLOOKUP($A20,Dataset!A15:Y54,18,FALSE)</f>
        <v>0</v>
      </c>
      <c r="E20" s="10">
        <f>VLOOKUP($A20,Dataset!A15:Z54,20,FALSE)</f>
        <v>0</v>
      </c>
      <c r="F20" s="10">
        <f>VLOOKUP($A20,Dataset!A15:AA54,22,FALSE)</f>
        <v>0</v>
      </c>
    </row>
    <row r="21" spans="1:6" ht="14.4" x14ac:dyDescent="0.3">
      <c r="A21" s="7" t="s">
        <v>57</v>
      </c>
      <c r="B21" s="10">
        <f>VLOOKUP(A21,Dataset!A16:Y55,7,FALSE)</f>
        <v>41.3</v>
      </c>
      <c r="C21" s="10">
        <f>VLOOKUP(A21,Dataset!A16:Y55,14,FALSE)</f>
        <v>124.4</v>
      </c>
      <c r="D21" s="10">
        <f>VLOOKUP($A21,Dataset!A16:Y55,18,FALSE)</f>
        <v>75</v>
      </c>
      <c r="E21" s="10">
        <f>VLOOKUP($A21,Dataset!A16:Z55,20,FALSE)</f>
        <v>151.5</v>
      </c>
      <c r="F21" s="10">
        <f>VLOOKUP($A21,Dataset!A16:AA55,22,FALSE)</f>
        <v>75</v>
      </c>
    </row>
    <row r="22" spans="1:6" ht="14.4" x14ac:dyDescent="0.3">
      <c r="A22" s="7" t="s">
        <v>58</v>
      </c>
      <c r="B22" s="10">
        <f>VLOOKUP(A22,Dataset!A17:Y56,7,FALSE)</f>
        <v>-1</v>
      </c>
      <c r="C22" s="10">
        <f>VLOOKUP(A22,Dataset!A17:Y56,14,FALSE)</f>
        <v>-1</v>
      </c>
      <c r="D22" s="10">
        <f>VLOOKUP($A22,Dataset!A17:Y56,18,FALSE)</f>
        <v>-1</v>
      </c>
      <c r="E22" s="10">
        <f>VLOOKUP($A22,Dataset!A17:Z56,20,FALSE)</f>
        <v>-1</v>
      </c>
      <c r="F22" s="10">
        <f>VLOOKUP($A22,Dataset!A17:AA56,22,FALSE)</f>
        <v>-1</v>
      </c>
    </row>
    <row r="23" spans="1:6" ht="14.4" x14ac:dyDescent="0.3">
      <c r="A23" s="7" t="s">
        <v>31</v>
      </c>
      <c r="B23" s="10">
        <f>VLOOKUP(A23,Dataset!A18:Y57,7,FALSE)</f>
        <v>45</v>
      </c>
      <c r="C23" s="10">
        <f>VLOOKUP(A23,Dataset!A18:Y57,14,FALSE)</f>
        <v>133.4</v>
      </c>
      <c r="D23" s="10">
        <f>VLOOKUP($A23,Dataset!A18:Y57,18,FALSE)</f>
        <v>79.400000000000006</v>
      </c>
      <c r="E23" s="10">
        <f>VLOOKUP($A23,Dataset!A18:Z57,20,FALSE)</f>
        <v>160.9</v>
      </c>
      <c r="F23" s="10">
        <f>VLOOKUP($A23,Dataset!A18:AA57,22,FALSE)</f>
        <v>79.400000000000006</v>
      </c>
    </row>
    <row r="24" spans="1:6" ht="14.4" x14ac:dyDescent="0.3">
      <c r="A24" s="7" t="s">
        <v>32</v>
      </c>
      <c r="B24" s="10">
        <f>VLOOKUP(A24,Dataset!A19:Y58,7,FALSE)</f>
        <v>-1</v>
      </c>
      <c r="C24" s="10">
        <f>VLOOKUP(A24,Dataset!A19:Y58,14,FALSE)</f>
        <v>-1</v>
      </c>
      <c r="D24" s="10">
        <f>VLOOKUP($A24,Dataset!A19:Y58,18,FALSE)</f>
        <v>-1</v>
      </c>
      <c r="E24" s="10">
        <f>VLOOKUP($A24,Dataset!A19:Z58,20,FALSE)</f>
        <v>-1</v>
      </c>
      <c r="F24" s="10">
        <f>VLOOKUP($A24,Dataset!A19:AA58,22,FALSE)</f>
        <v>-1</v>
      </c>
    </row>
    <row r="25" spans="1:6" ht="14.4" x14ac:dyDescent="0.3">
      <c r="A25" s="7" t="s">
        <v>34</v>
      </c>
      <c r="B25" s="10">
        <f>VLOOKUP(A25,Dataset!A20:Y59,7,FALSE)</f>
        <v>43.3</v>
      </c>
      <c r="C25" s="10">
        <f>VLOOKUP(A25,Dataset!A20:Y59,14,FALSE)</f>
        <v>128.6</v>
      </c>
      <c r="D25" s="10">
        <f>VLOOKUP($A25,Dataset!A20:Y59,18,FALSE)</f>
        <v>79.400000000000006</v>
      </c>
      <c r="E25" s="10">
        <f>VLOOKUP($A25,Dataset!A20:Z59,20,FALSE)</f>
        <v>160.9</v>
      </c>
      <c r="F25" s="10">
        <f>VLOOKUP($A25,Dataset!A20:AA59,22,FALSE)</f>
        <v>79.400000000000006</v>
      </c>
    </row>
    <row r="26" spans="1:6" ht="14.4" x14ac:dyDescent="0.3">
      <c r="A26" s="7" t="s">
        <v>37</v>
      </c>
      <c r="B26" s="10">
        <f>VLOOKUP(A26,Dataset!A21:Y60,7,FALSE)</f>
        <v>49.1</v>
      </c>
      <c r="C26" s="10">
        <f>VLOOKUP(A26,Dataset!A21:Y60,14,FALSE)</f>
        <v>146.80000000000001</v>
      </c>
      <c r="D26" s="10">
        <f>VLOOKUP($A26,Dataset!A21:Y60,18,FALSE)</f>
        <v>90.9</v>
      </c>
      <c r="E26" s="10">
        <f>VLOOKUP($A26,Dataset!A21:Z60,20,FALSE)</f>
        <v>183.5</v>
      </c>
      <c r="F26" s="10">
        <f>VLOOKUP($A26,Dataset!A21:AA60,22,FALSE)</f>
        <v>90.9</v>
      </c>
    </row>
    <row r="27" spans="1:6" ht="14.4" x14ac:dyDescent="0.3">
      <c r="A27" s="7" t="s">
        <v>39</v>
      </c>
      <c r="B27" s="10">
        <f>VLOOKUP(A27,Dataset!A22:Y61,7,FALSE)</f>
        <v>51.8</v>
      </c>
      <c r="C27" s="10">
        <f>VLOOKUP(A27,Dataset!A22:Y61,14,FALSE)</f>
        <v>156.4</v>
      </c>
      <c r="D27" s="10">
        <f>VLOOKUP($A27,Dataset!A22:Y61,18,FALSE)</f>
        <v>93.1</v>
      </c>
      <c r="E27" s="10">
        <f>VLOOKUP($A27,Dataset!A22:Z61,20,FALSE)</f>
        <v>188.1</v>
      </c>
      <c r="F27" s="10">
        <f>VLOOKUP($A27,Dataset!A22:AA61,22,FALSE)</f>
        <v>93.1</v>
      </c>
    </row>
    <row r="28" spans="1:6" ht="14.4" x14ac:dyDescent="0.3">
      <c r="A28" s="16" t="s">
        <v>82</v>
      </c>
      <c r="B28" s="28">
        <f>MIN($B6:$B27)</f>
        <v>-1</v>
      </c>
      <c r="C28" s="28">
        <f>MIN($C6:$C27)</f>
        <v>-1</v>
      </c>
      <c r="D28" s="28">
        <f>MIN(D6:D27)</f>
        <v>-1</v>
      </c>
      <c r="E28" s="28">
        <f>MIN(E6:E27)</f>
        <v>-1</v>
      </c>
      <c r="F28" s="28">
        <f>MIN(F6:F27)</f>
        <v>-1</v>
      </c>
    </row>
    <row r="29" spans="1:6" ht="14.4" x14ac:dyDescent="0.3">
      <c r="A29" s="16" t="s">
        <v>83</v>
      </c>
      <c r="B29" s="28">
        <f t="shared" ref="B29:C29" si="0">MAX(B6:B27)</f>
        <v>51.8</v>
      </c>
      <c r="C29" s="28">
        <f t="shared" si="0"/>
        <v>156.4</v>
      </c>
      <c r="D29" s="28">
        <f>MAX(D6:D27)</f>
        <v>93.1</v>
      </c>
      <c r="E29" s="28">
        <f>MAX(E6:E27)</f>
        <v>188.1</v>
      </c>
      <c r="F29" s="28">
        <f>MAX(F6:F27)</f>
        <v>93.1</v>
      </c>
    </row>
    <row r="30" spans="1:6" ht="14.4" x14ac:dyDescent="0.3">
      <c r="A30" s="16" t="s">
        <v>84</v>
      </c>
      <c r="B30" s="28">
        <f>AVERAGE($B6:$B27)</f>
        <v>20.827272727272728</v>
      </c>
      <c r="C30" s="28">
        <f>AVERAGE($C6:$C27)</f>
        <v>62.377272727272725</v>
      </c>
      <c r="D30" s="28">
        <f>AVERAGE(D6:D27)</f>
        <v>37.800000000000004</v>
      </c>
      <c r="E30" s="28">
        <f t="shared" ref="E30:F30" si="1">AVERAGE(E6:E27)</f>
        <v>76.418181818181822</v>
      </c>
      <c r="F30" s="28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0"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0" t="s">
        <v>53</v>
      </c>
      <c r="B5" s="37" t="s">
        <v>178</v>
      </c>
    </row>
    <row r="6" spans="1:10" ht="18" x14ac:dyDescent="0.35">
      <c r="A6" s="40" t="s">
        <v>154</v>
      </c>
      <c r="B6" s="37" t="s">
        <v>179</v>
      </c>
    </row>
    <row r="7" spans="1:10" ht="18" x14ac:dyDescent="0.35">
      <c r="A7" s="40"/>
      <c r="B7" s="37"/>
    </row>
    <row r="9" spans="1:10" ht="23.4" x14ac:dyDescent="0.45">
      <c r="A9" s="15" t="s">
        <v>166</v>
      </c>
      <c r="I9" s="2"/>
      <c r="J9" s="2"/>
    </row>
    <row r="10" spans="1:10" x14ac:dyDescent="0.3">
      <c r="A10" s="30" t="s">
        <v>102</v>
      </c>
      <c r="B10" s="14" t="s">
        <v>49</v>
      </c>
      <c r="C10" s="14" t="s">
        <v>50</v>
      </c>
      <c r="D10" s="14" t="s">
        <v>51</v>
      </c>
      <c r="E10" s="14" t="s">
        <v>52</v>
      </c>
      <c r="F10" s="14" t="s">
        <v>54</v>
      </c>
      <c r="I10" s="2"/>
      <c r="J10" s="2"/>
    </row>
    <row r="11" spans="1:10" x14ac:dyDescent="0.3">
      <c r="A11" s="8" t="s">
        <v>122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5" t="s">
        <v>163</v>
      </c>
    </row>
    <row r="15" spans="1:10" x14ac:dyDescent="0.3">
      <c r="A15" s="12" t="s">
        <v>103</v>
      </c>
      <c r="B15" s="14" t="s">
        <v>49</v>
      </c>
      <c r="C15" s="13" t="s">
        <v>50</v>
      </c>
      <c r="D15" s="14" t="s">
        <v>51</v>
      </c>
      <c r="E15" s="13" t="s">
        <v>52</v>
      </c>
      <c r="F15" s="14" t="s">
        <v>54</v>
      </c>
    </row>
    <row r="16" spans="1:10" x14ac:dyDescent="0.3">
      <c r="A16" s="7" t="s">
        <v>122</v>
      </c>
      <c r="B16" s="10" t="str">
        <f>LEFT(A16, SEARCH("-", A16) - 1)</f>
        <v>20000</v>
      </c>
      <c r="C16" s="10" t="str">
        <f>MID(A16, SEARCH("-", A16) + 1, SEARCH("-", A16, SEARCH("-", A16) + 1) - SEARCH("-", A16) - 1)</f>
        <v>Monday</v>
      </c>
      <c r="D16" s="10" t="str">
        <f>TRIM(MID(SUBSTITUTE(A16, "-", REPT(" ", LEN(A16))), LEN(A16)*2, LEN(A16)))</f>
        <v>0</v>
      </c>
      <c r="E16" s="10" t="str">
        <f>TRIM(MID(SUBSTITUTE(A16, "-", REPT(" ", LEN(A16))), LEN(A16)*3, LEN(A16)))</f>
        <v>Sunday</v>
      </c>
      <c r="F16" s="10" t="str">
        <f>RIGHT(A16, SEARCH("-", A16 )-4)</f>
        <v>24</v>
      </c>
    </row>
    <row r="17" spans="1:6" x14ac:dyDescent="0.3">
      <c r="A17" s="7" t="s">
        <v>123</v>
      </c>
      <c r="B17" s="10" t="str">
        <f>LEFT(A17, SEARCH("-", A17) - 1)</f>
        <v>20002</v>
      </c>
      <c r="C17" s="10" t="str">
        <f t="shared" ref="C17:C54" si="0">MID(A17, SEARCH("-", A17) + 1, SEARCH("-", A17, SEARCH("-", A17) + 1) - SEARCH("-", A17) - 1)</f>
        <v>Monday</v>
      </c>
      <c r="D17" s="10" t="str">
        <f t="shared" ref="D17:D54" si="1">TRIM(MID(SUBSTITUTE(A17, "-", REPT(" ", LEN(A17))), LEN(A17)*2, LEN(A17)))</f>
        <v>0</v>
      </c>
      <c r="E17" s="10" t="str">
        <f t="shared" ref="E17:E54" si="2">TRIM(MID(SUBSTITUTE(A17, "-", REPT(" ", LEN(A17))), LEN(A17)*3, LEN(A17)))</f>
        <v>Sunday</v>
      </c>
      <c r="F17" s="10" t="str">
        <f t="shared" ref="F17:F54" si="3">RIGHT(A17, SEARCH("-", A17 )-4)</f>
        <v>24</v>
      </c>
    </row>
    <row r="18" spans="1:6" x14ac:dyDescent="0.3">
      <c r="A18" s="7" t="s">
        <v>124</v>
      </c>
      <c r="B18" s="10" t="str">
        <f t="shared" ref="B17:B54" si="4">LEFT(A18, SEARCH("-", A18) - 1)</f>
        <v>20004</v>
      </c>
      <c r="C18" s="10" t="str">
        <f t="shared" si="0"/>
        <v>Monday</v>
      </c>
      <c r="D18" s="10" t="str">
        <f t="shared" si="1"/>
        <v>0</v>
      </c>
      <c r="E18" s="10" t="str">
        <f t="shared" si="2"/>
        <v>Sunday</v>
      </c>
      <c r="F18" s="10" t="str">
        <f t="shared" si="3"/>
        <v>24</v>
      </c>
    </row>
    <row r="19" spans="1:6" x14ac:dyDescent="0.3">
      <c r="A19" s="7" t="s">
        <v>125</v>
      </c>
      <c r="B19" s="10" t="str">
        <f t="shared" si="4"/>
        <v>20006</v>
      </c>
      <c r="C19" s="10" t="str">
        <f t="shared" si="0"/>
        <v>Monday</v>
      </c>
      <c r="D19" s="10" t="str">
        <f t="shared" si="1"/>
        <v>0</v>
      </c>
      <c r="E19" s="10" t="str">
        <f t="shared" si="2"/>
        <v>Sunday</v>
      </c>
      <c r="F19" s="10" t="str">
        <f t="shared" si="3"/>
        <v>24</v>
      </c>
    </row>
    <row r="20" spans="1:6" x14ac:dyDescent="0.3">
      <c r="A20" s="7" t="s">
        <v>126</v>
      </c>
      <c r="B20" s="10" t="str">
        <f t="shared" si="4"/>
        <v>20008</v>
      </c>
      <c r="C20" s="10" t="str">
        <f t="shared" si="0"/>
        <v>Monday</v>
      </c>
      <c r="D20" s="10" t="str">
        <f t="shared" si="1"/>
        <v>0</v>
      </c>
      <c r="E20" s="10" t="str">
        <f t="shared" si="2"/>
        <v>Sunday</v>
      </c>
      <c r="F20" s="10" t="str">
        <f t="shared" si="3"/>
        <v>24</v>
      </c>
    </row>
    <row r="21" spans="1:6" x14ac:dyDescent="0.3">
      <c r="A21" s="7" t="s">
        <v>127</v>
      </c>
      <c r="B21" s="10" t="str">
        <f t="shared" si="4"/>
        <v>20010</v>
      </c>
      <c r="C21" s="10" t="str">
        <f t="shared" si="0"/>
        <v>Monday</v>
      </c>
      <c r="D21" s="10" t="str">
        <f t="shared" si="1"/>
        <v>0</v>
      </c>
      <c r="E21" s="10" t="str">
        <f t="shared" si="2"/>
        <v>Sunday</v>
      </c>
      <c r="F21" s="10" t="str">
        <f t="shared" si="3"/>
        <v>24</v>
      </c>
    </row>
    <row r="22" spans="1:6" x14ac:dyDescent="0.3">
      <c r="A22" s="7" t="s">
        <v>128</v>
      </c>
      <c r="B22" s="10" t="str">
        <f t="shared" si="4"/>
        <v>20012</v>
      </c>
      <c r="C22" s="10" t="str">
        <f t="shared" si="0"/>
        <v>Monday</v>
      </c>
      <c r="D22" s="10" t="str">
        <f t="shared" si="1"/>
        <v>0</v>
      </c>
      <c r="E22" s="10" t="str">
        <f t="shared" si="2"/>
        <v>Sunday</v>
      </c>
      <c r="F22" s="10" t="str">
        <f t="shared" si="3"/>
        <v>24</v>
      </c>
    </row>
    <row r="23" spans="1:6" x14ac:dyDescent="0.3">
      <c r="A23" s="7" t="s">
        <v>129</v>
      </c>
      <c r="B23" s="10" t="str">
        <f t="shared" si="4"/>
        <v>20014</v>
      </c>
      <c r="C23" s="10" t="str">
        <f t="shared" si="0"/>
        <v>Monday</v>
      </c>
      <c r="D23" s="10" t="str">
        <f t="shared" si="1"/>
        <v>0</v>
      </c>
      <c r="E23" s="10" t="str">
        <f t="shared" si="2"/>
        <v>Sunday</v>
      </c>
      <c r="F23" s="10" t="str">
        <f t="shared" si="3"/>
        <v>24</v>
      </c>
    </row>
    <row r="24" spans="1:6" x14ac:dyDescent="0.3">
      <c r="A24" s="7" t="s">
        <v>130</v>
      </c>
      <c r="B24" s="10" t="str">
        <f t="shared" si="4"/>
        <v>20016</v>
      </c>
      <c r="C24" s="10" t="str">
        <f t="shared" si="0"/>
        <v>Monday</v>
      </c>
      <c r="D24" s="10" t="str">
        <f t="shared" si="1"/>
        <v>0</v>
      </c>
      <c r="E24" s="10" t="str">
        <f t="shared" si="2"/>
        <v>Sunday</v>
      </c>
      <c r="F24" s="10" t="str">
        <f t="shared" si="3"/>
        <v>24</v>
      </c>
    </row>
    <row r="25" spans="1:6" x14ac:dyDescent="0.3">
      <c r="A25" s="7" t="s">
        <v>131</v>
      </c>
      <c r="B25" s="10" t="str">
        <f t="shared" si="4"/>
        <v>20018</v>
      </c>
      <c r="C25" s="10" t="str">
        <f t="shared" si="0"/>
        <v>Monday</v>
      </c>
      <c r="D25" s="10" t="str">
        <f t="shared" si="1"/>
        <v>0</v>
      </c>
      <c r="E25" s="10" t="str">
        <f t="shared" si="2"/>
        <v>Sunday</v>
      </c>
      <c r="F25" s="10" t="str">
        <f t="shared" si="3"/>
        <v>24</v>
      </c>
    </row>
    <row r="26" spans="1:6" x14ac:dyDescent="0.3">
      <c r="A26" s="7" t="s">
        <v>132</v>
      </c>
      <c r="B26" s="10" t="str">
        <f t="shared" si="4"/>
        <v>20020</v>
      </c>
      <c r="C26" s="10" t="str">
        <f t="shared" si="0"/>
        <v>Monday</v>
      </c>
      <c r="D26" s="10" t="str">
        <f t="shared" si="1"/>
        <v>0</v>
      </c>
      <c r="E26" s="10" t="str">
        <f t="shared" si="2"/>
        <v>Sunday</v>
      </c>
      <c r="F26" s="10" t="str">
        <f t="shared" si="3"/>
        <v>24</v>
      </c>
    </row>
    <row r="27" spans="1:6" x14ac:dyDescent="0.3">
      <c r="A27" s="7" t="s">
        <v>133</v>
      </c>
      <c r="B27" s="10" t="str">
        <f t="shared" si="4"/>
        <v>20022</v>
      </c>
      <c r="C27" s="10" t="str">
        <f t="shared" si="0"/>
        <v>Monday</v>
      </c>
      <c r="D27" s="10" t="str">
        <f t="shared" si="1"/>
        <v>0</v>
      </c>
      <c r="E27" s="10" t="str">
        <f t="shared" si="2"/>
        <v>Sunday</v>
      </c>
      <c r="F27" s="10" t="str">
        <f t="shared" si="3"/>
        <v>24</v>
      </c>
    </row>
    <row r="28" spans="1:6" x14ac:dyDescent="0.3">
      <c r="A28" s="7" t="s">
        <v>134</v>
      </c>
      <c r="B28" s="10" t="str">
        <f t="shared" si="4"/>
        <v>20024</v>
      </c>
      <c r="C28" s="10" t="str">
        <f t="shared" si="0"/>
        <v>Monday</v>
      </c>
      <c r="D28" s="10" t="str">
        <f t="shared" si="1"/>
        <v>0</v>
      </c>
      <c r="E28" s="10" t="str">
        <f t="shared" si="2"/>
        <v>Sunday</v>
      </c>
      <c r="F28" s="10" t="str">
        <f t="shared" si="3"/>
        <v>24</v>
      </c>
    </row>
    <row r="29" spans="1:6" x14ac:dyDescent="0.3">
      <c r="A29" s="7" t="s">
        <v>135</v>
      </c>
      <c r="B29" s="10" t="str">
        <f t="shared" si="4"/>
        <v>20026</v>
      </c>
      <c r="C29" s="10" t="str">
        <f t="shared" si="0"/>
        <v>Monday</v>
      </c>
      <c r="D29" s="10" t="str">
        <f t="shared" si="1"/>
        <v>0</v>
      </c>
      <c r="E29" s="10" t="str">
        <f t="shared" si="2"/>
        <v>Sunday</v>
      </c>
      <c r="F29" s="10" t="str">
        <f t="shared" si="3"/>
        <v>24</v>
      </c>
    </row>
    <row r="30" spans="1:6" x14ac:dyDescent="0.3">
      <c r="A30" s="7" t="s">
        <v>136</v>
      </c>
      <c r="B30" s="10" t="str">
        <f t="shared" si="4"/>
        <v>20028</v>
      </c>
      <c r="C30" s="10" t="str">
        <f t="shared" si="0"/>
        <v>Monday</v>
      </c>
      <c r="D30" s="10" t="str">
        <f t="shared" si="1"/>
        <v>0</v>
      </c>
      <c r="E30" s="10" t="str">
        <f t="shared" si="2"/>
        <v>Sunday</v>
      </c>
      <c r="F30" s="10" t="str">
        <f t="shared" si="3"/>
        <v>24</v>
      </c>
    </row>
    <row r="31" spans="1:6" x14ac:dyDescent="0.3">
      <c r="A31" s="7" t="s">
        <v>137</v>
      </c>
      <c r="B31" s="10" t="str">
        <f t="shared" si="4"/>
        <v>20030</v>
      </c>
      <c r="C31" s="10" t="str">
        <f t="shared" si="0"/>
        <v>Monday</v>
      </c>
      <c r="D31" s="10" t="str">
        <f t="shared" si="1"/>
        <v>0</v>
      </c>
      <c r="E31" s="10" t="str">
        <f t="shared" si="2"/>
        <v>Sunday</v>
      </c>
      <c r="F31" s="10" t="str">
        <f t="shared" si="3"/>
        <v>24</v>
      </c>
    </row>
    <row r="32" spans="1:6" x14ac:dyDescent="0.3">
      <c r="A32" s="7" t="s">
        <v>138</v>
      </c>
      <c r="B32" s="10" t="str">
        <f t="shared" si="4"/>
        <v>20032</v>
      </c>
      <c r="C32" s="10" t="str">
        <f t="shared" si="0"/>
        <v>Monday</v>
      </c>
      <c r="D32" s="10" t="str">
        <f t="shared" si="1"/>
        <v>0</v>
      </c>
      <c r="E32" s="10" t="str">
        <f t="shared" si="2"/>
        <v>Sunday</v>
      </c>
      <c r="F32" s="10" t="str">
        <f t="shared" si="3"/>
        <v>24</v>
      </c>
    </row>
    <row r="33" spans="1:6" x14ac:dyDescent="0.3">
      <c r="A33" s="7" t="s">
        <v>139</v>
      </c>
      <c r="B33" s="10" t="str">
        <f t="shared" si="4"/>
        <v>20034</v>
      </c>
      <c r="C33" s="10" t="str">
        <f t="shared" si="0"/>
        <v>Monday</v>
      </c>
      <c r="D33" s="10" t="str">
        <f t="shared" si="1"/>
        <v>0</v>
      </c>
      <c r="E33" s="10" t="str">
        <f t="shared" si="2"/>
        <v>Sunday</v>
      </c>
      <c r="F33" s="10" t="str">
        <f t="shared" si="3"/>
        <v>24</v>
      </c>
    </row>
    <row r="34" spans="1:6" x14ac:dyDescent="0.3">
      <c r="A34" s="7" t="s">
        <v>140</v>
      </c>
      <c r="B34" s="10" t="str">
        <f t="shared" si="4"/>
        <v>20036</v>
      </c>
      <c r="C34" s="10" t="str">
        <f t="shared" si="0"/>
        <v>Monday</v>
      </c>
      <c r="D34" s="10" t="str">
        <f t="shared" si="1"/>
        <v>0</v>
      </c>
      <c r="E34" s="10" t="str">
        <f t="shared" si="2"/>
        <v>Sunday</v>
      </c>
      <c r="F34" s="10" t="str">
        <f t="shared" si="3"/>
        <v>24</v>
      </c>
    </row>
    <row r="35" spans="1:6" x14ac:dyDescent="0.3">
      <c r="A35" s="7" t="s">
        <v>141</v>
      </c>
      <c r="B35" s="10" t="str">
        <f t="shared" si="4"/>
        <v>20038</v>
      </c>
      <c r="C35" s="10" t="str">
        <f t="shared" si="0"/>
        <v>Monday</v>
      </c>
      <c r="D35" s="10" t="str">
        <f t="shared" si="1"/>
        <v>0</v>
      </c>
      <c r="E35" s="10" t="str">
        <f t="shared" si="2"/>
        <v>Sunday</v>
      </c>
      <c r="F35" s="10" t="str">
        <f t="shared" si="3"/>
        <v>24</v>
      </c>
    </row>
    <row r="36" spans="1:6" x14ac:dyDescent="0.3">
      <c r="A36" s="7" t="s">
        <v>142</v>
      </c>
      <c r="B36" s="10" t="str">
        <f t="shared" si="4"/>
        <v>20040</v>
      </c>
      <c r="C36" s="10" t="str">
        <f t="shared" si="0"/>
        <v>Monday</v>
      </c>
      <c r="D36" s="10" t="str">
        <f t="shared" si="1"/>
        <v>0</v>
      </c>
      <c r="E36" s="10" t="str">
        <f t="shared" si="2"/>
        <v>Sunday</v>
      </c>
      <c r="F36" s="10" t="str">
        <f t="shared" si="3"/>
        <v>24</v>
      </c>
    </row>
    <row r="37" spans="1:6" x14ac:dyDescent="0.3">
      <c r="A37" s="7" t="s">
        <v>143</v>
      </c>
      <c r="B37" s="10" t="str">
        <f t="shared" si="4"/>
        <v>20042</v>
      </c>
      <c r="C37" s="10" t="str">
        <f t="shared" si="0"/>
        <v>Monday</v>
      </c>
      <c r="D37" s="10" t="str">
        <f t="shared" si="1"/>
        <v>0</v>
      </c>
      <c r="E37" s="10" t="str">
        <f t="shared" si="2"/>
        <v>Sunday</v>
      </c>
      <c r="F37" s="10" t="str">
        <f t="shared" si="3"/>
        <v>24</v>
      </c>
    </row>
    <row r="38" spans="1:6" x14ac:dyDescent="0.3">
      <c r="A38" s="7" t="s">
        <v>144</v>
      </c>
      <c r="B38" s="10" t="str">
        <f t="shared" si="4"/>
        <v>20044</v>
      </c>
      <c r="C38" s="10" t="str">
        <f t="shared" si="0"/>
        <v>Monday</v>
      </c>
      <c r="D38" s="10" t="str">
        <f t="shared" si="1"/>
        <v>0</v>
      </c>
      <c r="E38" s="10" t="str">
        <f t="shared" si="2"/>
        <v>Sunday</v>
      </c>
      <c r="F38" s="10" t="str">
        <f t="shared" si="3"/>
        <v>24</v>
      </c>
    </row>
    <row r="39" spans="1:6" x14ac:dyDescent="0.3">
      <c r="A39" s="7" t="s">
        <v>145</v>
      </c>
      <c r="B39" s="10" t="str">
        <f t="shared" si="4"/>
        <v>20046</v>
      </c>
      <c r="C39" s="10" t="str">
        <f t="shared" si="0"/>
        <v>Monday</v>
      </c>
      <c r="D39" s="10" t="str">
        <f t="shared" si="1"/>
        <v>0</v>
      </c>
      <c r="E39" s="10" t="str">
        <f t="shared" si="2"/>
        <v>Sunday</v>
      </c>
      <c r="F39" s="10" t="str">
        <f t="shared" si="3"/>
        <v>24</v>
      </c>
    </row>
    <row r="40" spans="1:6" x14ac:dyDescent="0.3">
      <c r="A40" s="7" t="s">
        <v>146</v>
      </c>
      <c r="B40" s="10" t="str">
        <f t="shared" si="4"/>
        <v>20048</v>
      </c>
      <c r="C40" s="10" t="str">
        <f t="shared" si="0"/>
        <v>Monday</v>
      </c>
      <c r="D40" s="10" t="str">
        <f t="shared" si="1"/>
        <v>0</v>
      </c>
      <c r="E40" s="10" t="str">
        <f t="shared" si="2"/>
        <v>Sunday</v>
      </c>
      <c r="F40" s="10" t="str">
        <f t="shared" si="3"/>
        <v>24</v>
      </c>
    </row>
    <row r="41" spans="1:6" x14ac:dyDescent="0.3">
      <c r="A41" s="7" t="s">
        <v>147</v>
      </c>
      <c r="B41" s="10" t="str">
        <f t="shared" si="4"/>
        <v>20050</v>
      </c>
      <c r="C41" s="10" t="str">
        <f t="shared" si="0"/>
        <v>Monday</v>
      </c>
      <c r="D41" s="10" t="str">
        <f t="shared" si="1"/>
        <v>0</v>
      </c>
      <c r="E41" s="10" t="str">
        <f t="shared" si="2"/>
        <v>Sunday</v>
      </c>
      <c r="F41" s="10" t="str">
        <f t="shared" si="3"/>
        <v>24</v>
      </c>
    </row>
    <row r="42" spans="1:6" x14ac:dyDescent="0.3">
      <c r="A42" s="7" t="s">
        <v>148</v>
      </c>
      <c r="B42" s="10" t="str">
        <f t="shared" si="4"/>
        <v>20052</v>
      </c>
      <c r="C42" s="10" t="str">
        <f t="shared" si="0"/>
        <v>Monday</v>
      </c>
      <c r="D42" s="10" t="str">
        <f t="shared" si="1"/>
        <v>0</v>
      </c>
      <c r="E42" s="10" t="str">
        <f t="shared" si="2"/>
        <v>Sunday</v>
      </c>
      <c r="F42" s="10" t="str">
        <f t="shared" si="3"/>
        <v>24</v>
      </c>
    </row>
    <row r="43" spans="1:6" x14ac:dyDescent="0.3">
      <c r="A43" s="7" t="s">
        <v>149</v>
      </c>
      <c r="B43" s="10" t="str">
        <f t="shared" si="4"/>
        <v>20054</v>
      </c>
      <c r="C43" s="10" t="str">
        <f t="shared" si="0"/>
        <v>Monday</v>
      </c>
      <c r="D43" s="10" t="str">
        <f t="shared" si="1"/>
        <v>0</v>
      </c>
      <c r="E43" s="10" t="str">
        <f t="shared" si="2"/>
        <v>Sunday</v>
      </c>
      <c r="F43" s="10" t="str">
        <f t="shared" si="3"/>
        <v>24</v>
      </c>
    </row>
    <row r="44" spans="1:6" x14ac:dyDescent="0.3">
      <c r="A44" s="7" t="s">
        <v>150</v>
      </c>
      <c r="B44" s="10" t="str">
        <f t="shared" si="4"/>
        <v>20058</v>
      </c>
      <c r="C44" s="10" t="str">
        <f t="shared" si="0"/>
        <v>Monday</v>
      </c>
      <c r="D44" s="10" t="str">
        <f t="shared" si="1"/>
        <v>0</v>
      </c>
      <c r="E44" s="10" t="str">
        <f t="shared" si="2"/>
        <v>Sunday</v>
      </c>
      <c r="F44" s="10" t="str">
        <f t="shared" si="3"/>
        <v>24</v>
      </c>
    </row>
    <row r="45" spans="1:6" x14ac:dyDescent="0.3">
      <c r="A45" s="7" t="s">
        <v>151</v>
      </c>
      <c r="B45" s="10" t="str">
        <f t="shared" si="4"/>
        <v>20060</v>
      </c>
      <c r="C45" s="10" t="str">
        <f t="shared" si="0"/>
        <v>Monday</v>
      </c>
      <c r="D45" s="10" t="str">
        <f t="shared" si="1"/>
        <v>0</v>
      </c>
      <c r="E45" s="10" t="str">
        <f t="shared" si="2"/>
        <v>Sunday</v>
      </c>
      <c r="F45" s="10" t="str">
        <f t="shared" si="3"/>
        <v>24</v>
      </c>
    </row>
    <row r="46" spans="1:6" x14ac:dyDescent="0.3">
      <c r="A46" s="7" t="s">
        <v>113</v>
      </c>
      <c r="B46" s="10" t="str">
        <f t="shared" si="4"/>
        <v>21000</v>
      </c>
      <c r="C46" s="10" t="str">
        <f t="shared" si="0"/>
        <v>Monday</v>
      </c>
      <c r="D46" s="10" t="str">
        <f t="shared" si="1"/>
        <v>0</v>
      </c>
      <c r="E46" s="10" t="str">
        <f t="shared" si="2"/>
        <v>Sunday</v>
      </c>
      <c r="F46" s="10" t="str">
        <f t="shared" si="3"/>
        <v>24</v>
      </c>
    </row>
    <row r="47" spans="1:6" x14ac:dyDescent="0.3">
      <c r="A47" s="7" t="s">
        <v>114</v>
      </c>
      <c r="B47" s="10" t="str">
        <f t="shared" si="4"/>
        <v>21002</v>
      </c>
      <c r="C47" s="10" t="str">
        <f t="shared" si="0"/>
        <v>Monday</v>
      </c>
      <c r="D47" s="10" t="str">
        <f t="shared" si="1"/>
        <v>0</v>
      </c>
      <c r="E47" s="10" t="str">
        <f t="shared" si="2"/>
        <v>Sunday</v>
      </c>
      <c r="F47" s="10" t="str">
        <f t="shared" si="3"/>
        <v>24</v>
      </c>
    </row>
    <row r="48" spans="1:6" x14ac:dyDescent="0.3">
      <c r="A48" s="7" t="s">
        <v>115</v>
      </c>
      <c r="B48" s="10" t="str">
        <f t="shared" si="4"/>
        <v>21004</v>
      </c>
      <c r="C48" s="10" t="str">
        <f t="shared" si="0"/>
        <v>Monday</v>
      </c>
      <c r="D48" s="10" t="str">
        <f t="shared" si="1"/>
        <v>0</v>
      </c>
      <c r="E48" s="10" t="str">
        <f t="shared" si="2"/>
        <v>Sunday</v>
      </c>
      <c r="F48" s="10" t="str">
        <f t="shared" si="3"/>
        <v>24</v>
      </c>
    </row>
    <row r="49" spans="1:6" x14ac:dyDescent="0.3">
      <c r="A49" s="7" t="s">
        <v>116</v>
      </c>
      <c r="B49" s="10" t="str">
        <f t="shared" si="4"/>
        <v>21006</v>
      </c>
      <c r="C49" s="10" t="str">
        <f t="shared" si="0"/>
        <v>Monday</v>
      </c>
      <c r="D49" s="10" t="str">
        <f t="shared" si="1"/>
        <v>0</v>
      </c>
      <c r="E49" s="10" t="str">
        <f t="shared" si="2"/>
        <v>Sunday</v>
      </c>
      <c r="F49" s="10" t="str">
        <f t="shared" si="3"/>
        <v>24</v>
      </c>
    </row>
    <row r="50" spans="1:6" x14ac:dyDescent="0.3">
      <c r="A50" s="7" t="s">
        <v>117</v>
      </c>
      <c r="B50" s="10" t="str">
        <f t="shared" si="4"/>
        <v>21008</v>
      </c>
      <c r="C50" s="10" t="str">
        <f t="shared" si="0"/>
        <v>Monday</v>
      </c>
      <c r="D50" s="10" t="str">
        <f t="shared" si="1"/>
        <v>0</v>
      </c>
      <c r="E50" s="10" t="str">
        <f t="shared" si="2"/>
        <v>Sunday</v>
      </c>
      <c r="F50" s="10" t="str">
        <f t="shared" si="3"/>
        <v>24</v>
      </c>
    </row>
    <row r="51" spans="1:6" x14ac:dyDescent="0.3">
      <c r="A51" s="7" t="s">
        <v>118</v>
      </c>
      <c r="B51" s="10" t="str">
        <f t="shared" si="4"/>
        <v>21010</v>
      </c>
      <c r="C51" s="10" t="str">
        <f t="shared" si="0"/>
        <v>Monday</v>
      </c>
      <c r="D51" s="10" t="str">
        <f t="shared" si="1"/>
        <v>0</v>
      </c>
      <c r="E51" s="10" t="str">
        <f t="shared" si="2"/>
        <v>Sunday</v>
      </c>
      <c r="F51" s="10" t="str">
        <f t="shared" si="3"/>
        <v>24</v>
      </c>
    </row>
    <row r="52" spans="1:6" x14ac:dyDescent="0.3">
      <c r="A52" s="7" t="s">
        <v>119</v>
      </c>
      <c r="B52" s="10" t="str">
        <f t="shared" si="4"/>
        <v>21012</v>
      </c>
      <c r="C52" s="10" t="str">
        <f t="shared" si="0"/>
        <v>Monday</v>
      </c>
      <c r="D52" s="10" t="str">
        <f t="shared" si="1"/>
        <v>0</v>
      </c>
      <c r="E52" s="10" t="str">
        <f t="shared" si="2"/>
        <v>Sunday</v>
      </c>
      <c r="F52" s="10" t="str">
        <f t="shared" si="3"/>
        <v>24</v>
      </c>
    </row>
    <row r="53" spans="1:6" x14ac:dyDescent="0.3">
      <c r="A53" s="7" t="s">
        <v>120</v>
      </c>
      <c r="B53" s="10" t="str">
        <f t="shared" si="4"/>
        <v>21014</v>
      </c>
      <c r="C53" s="10" t="str">
        <f t="shared" si="0"/>
        <v>Monday</v>
      </c>
      <c r="D53" s="10" t="str">
        <f t="shared" si="1"/>
        <v>0</v>
      </c>
      <c r="E53" s="10" t="str">
        <f t="shared" si="2"/>
        <v>Sunday</v>
      </c>
      <c r="F53" s="10" t="str">
        <f t="shared" si="3"/>
        <v>24</v>
      </c>
    </row>
    <row r="54" spans="1:6" x14ac:dyDescent="0.3">
      <c r="A54" s="8" t="s">
        <v>121</v>
      </c>
      <c r="B54" s="10" t="str">
        <f t="shared" si="4"/>
        <v>21016</v>
      </c>
      <c r="C54" s="10" t="str">
        <f t="shared" si="0"/>
        <v>Monday</v>
      </c>
      <c r="D54" s="10" t="str">
        <f t="shared" si="1"/>
        <v>0</v>
      </c>
      <c r="E54" s="10" t="str">
        <f t="shared" si="2"/>
        <v>Sunday</v>
      </c>
      <c r="F54" s="10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168</v>
      </c>
    </row>
    <row r="2" spans="1:3" ht="18" x14ac:dyDescent="0.35">
      <c r="B2" s="37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154</v>
      </c>
      <c r="B7" s="1" t="s">
        <v>181</v>
      </c>
    </row>
    <row r="10" spans="1:3" ht="23.4" x14ac:dyDescent="0.45">
      <c r="A10" s="15" t="s">
        <v>163</v>
      </c>
    </row>
    <row r="11" spans="1:3" ht="14.4" x14ac:dyDescent="0.3">
      <c r="A11" s="29" t="s">
        <v>86</v>
      </c>
      <c r="B11" s="14" t="s">
        <v>87</v>
      </c>
      <c r="C11" s="14" t="s">
        <v>88</v>
      </c>
    </row>
    <row r="12" spans="1:3" ht="14.4" x14ac:dyDescent="0.3">
      <c r="A12" s="29">
        <v>44927</v>
      </c>
      <c r="B12" s="14" t="s">
        <v>59</v>
      </c>
      <c r="C12" s="14">
        <v>200</v>
      </c>
    </row>
    <row r="13" spans="1:3" ht="14.4" x14ac:dyDescent="0.3">
      <c r="A13" s="29">
        <v>44928</v>
      </c>
      <c r="B13" s="14" t="s">
        <v>60</v>
      </c>
      <c r="C13" s="14" t="e">
        <v>#N/A</v>
      </c>
    </row>
    <row r="14" spans="1:3" ht="14.4" x14ac:dyDescent="0.3">
      <c r="A14" s="29">
        <v>44929</v>
      </c>
      <c r="B14" s="14" t="s">
        <v>61</v>
      </c>
      <c r="C14" s="14">
        <v>50</v>
      </c>
    </row>
    <row r="15" spans="1:3" ht="14.4" x14ac:dyDescent="0.3">
      <c r="A15" s="29">
        <v>44930</v>
      </c>
      <c r="B15" s="14" t="s">
        <v>62</v>
      </c>
      <c r="C15" s="14" t="e">
        <v>#N/A</v>
      </c>
    </row>
    <row r="16" spans="1:3" ht="14.4" x14ac:dyDescent="0.3">
      <c r="A16" s="29">
        <v>44931</v>
      </c>
      <c r="B16" s="14" t="s">
        <v>63</v>
      </c>
      <c r="C16" s="14">
        <v>10</v>
      </c>
    </row>
    <row r="17" spans="1:3" ht="14.4" x14ac:dyDescent="0.3">
      <c r="A17" s="29">
        <v>44932</v>
      </c>
      <c r="B17" s="14" t="s">
        <v>155</v>
      </c>
      <c r="C17" s="14">
        <v>150</v>
      </c>
    </row>
    <row r="18" spans="1:3" ht="14.4" x14ac:dyDescent="0.3">
      <c r="A18" s="29">
        <v>44933</v>
      </c>
      <c r="B18" s="14" t="s">
        <v>156</v>
      </c>
      <c r="C18" s="14">
        <v>80</v>
      </c>
    </row>
    <row r="19" spans="1:3" ht="14.4" x14ac:dyDescent="0.3">
      <c r="A19" s="29">
        <v>44934</v>
      </c>
      <c r="B19" s="14" t="s">
        <v>157</v>
      </c>
      <c r="C19" s="14" t="e">
        <v>#N/A</v>
      </c>
    </row>
    <row r="20" spans="1:3" ht="14.4" x14ac:dyDescent="0.3">
      <c r="A20" s="29">
        <v>44935</v>
      </c>
      <c r="B20" s="14" t="s">
        <v>158</v>
      </c>
      <c r="C20" s="14">
        <v>30</v>
      </c>
    </row>
    <row r="21" spans="1:3" ht="14.4" x14ac:dyDescent="0.3">
      <c r="A21" s="29">
        <v>44936</v>
      </c>
      <c r="B21" s="14" t="s">
        <v>159</v>
      </c>
      <c r="C21" s="14" t="e">
        <v>#N/A</v>
      </c>
    </row>
    <row r="22" spans="1:3" ht="14.4" x14ac:dyDescent="0.3">
      <c r="B22" s="14" t="s">
        <v>160</v>
      </c>
      <c r="C22" s="43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F7" sqref="F7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176</v>
      </c>
    </row>
    <row r="3" spans="1:14" ht="14.4" x14ac:dyDescent="0.3">
      <c r="B3" s="1" t="s">
        <v>152</v>
      </c>
    </row>
    <row r="4" spans="1:14" ht="18" x14ac:dyDescent="0.35">
      <c r="A4" s="40" t="s">
        <v>53</v>
      </c>
      <c r="B4" s="1" t="s">
        <v>182</v>
      </c>
    </row>
    <row r="5" spans="1:14" ht="18" x14ac:dyDescent="0.35">
      <c r="A5" s="40" t="s">
        <v>154</v>
      </c>
      <c r="B5" s="1" t="s">
        <v>185</v>
      </c>
    </row>
    <row r="6" spans="1:14" ht="14.4" x14ac:dyDescent="0.3">
      <c r="A6" s="3"/>
      <c r="B6" s="1"/>
    </row>
    <row r="8" spans="1:14" ht="23.4" x14ac:dyDescent="0.45">
      <c r="A8" s="15" t="s">
        <v>163</v>
      </c>
      <c r="M8" s="15" t="s">
        <v>164</v>
      </c>
    </row>
    <row r="9" spans="1:14" ht="14.4" x14ac:dyDescent="0.3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6" t="s">
        <v>43</v>
      </c>
      <c r="N9" s="16" t="s">
        <v>99</v>
      </c>
    </row>
    <row r="10" spans="1:14" ht="14.4" x14ac:dyDescent="0.3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10">
        <v>10100</v>
      </c>
      <c r="N10" s="10" t="s">
        <v>89</v>
      </c>
    </row>
    <row r="11" spans="1:14" ht="14.4" x14ac:dyDescent="0.3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10">
        <v>10102</v>
      </c>
      <c r="N11" s="10" t="s">
        <v>90</v>
      </c>
    </row>
    <row r="12" spans="1:14" ht="14.4" x14ac:dyDescent="0.3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10">
        <v>10104</v>
      </c>
      <c r="N12" s="10" t="s">
        <v>91</v>
      </c>
    </row>
    <row r="13" spans="1:14" ht="14.4" x14ac:dyDescent="0.3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10">
        <v>10106</v>
      </c>
      <c r="N13" s="10" t="s">
        <v>92</v>
      </c>
    </row>
    <row r="14" spans="1:14" ht="14.4" x14ac:dyDescent="0.3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10">
        <v>10108</v>
      </c>
      <c r="N14" s="10" t="s">
        <v>93</v>
      </c>
    </row>
    <row r="15" spans="1:14" ht="14.4" x14ac:dyDescent="0.3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10">
        <v>10110</v>
      </c>
      <c r="N15" s="10" t="s">
        <v>94</v>
      </c>
    </row>
    <row r="16" spans="1:14" ht="14.4" x14ac:dyDescent="0.3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10">
        <v>10112</v>
      </c>
      <c r="N16" s="10" t="s">
        <v>95</v>
      </c>
    </row>
    <row r="17" spans="1:14" ht="14.4" x14ac:dyDescent="0.3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10">
        <v>10114</v>
      </c>
      <c r="N17" s="10" t="s">
        <v>96</v>
      </c>
    </row>
    <row r="18" spans="1:14" ht="14.4" x14ac:dyDescent="0.3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1">
        <v>10116</v>
      </c>
      <c r="N18" s="11" t="s">
        <v>97</v>
      </c>
    </row>
    <row r="21" spans="1:14" ht="23.4" x14ac:dyDescent="0.45">
      <c r="A21" s="15" t="s">
        <v>169</v>
      </c>
    </row>
    <row r="22" spans="1:14" ht="14.4" x14ac:dyDescent="0.3">
      <c r="A22" s="14" t="s">
        <v>100</v>
      </c>
      <c r="B22" s="14" t="s">
        <v>101</v>
      </c>
      <c r="C22" s="14" t="s">
        <v>183</v>
      </c>
      <c r="D22" s="22" t="s">
        <v>184</v>
      </c>
      <c r="E22" s="22" t="s">
        <v>102</v>
      </c>
    </row>
    <row r="23" spans="1:14" ht="14.4" x14ac:dyDescent="0.3">
      <c r="A23" s="14">
        <v>10100</v>
      </c>
      <c r="B23" s="14">
        <v>10102</v>
      </c>
      <c r="C23" s="22" t="str">
        <f>VLOOKUP(A23, $M9:$N18, 2, FALSE)</f>
        <v>A</v>
      </c>
      <c r="D23" s="22" t="str">
        <f>VLOOKUP(B23, $M9:$N18, 2, FALSE)</f>
        <v>B</v>
      </c>
      <c r="E23" s="22">
        <f>VLOOKUP(C23,A9:J18,3,FALSE)</f>
        <v>95</v>
      </c>
    </row>
    <row r="24" spans="1:14" ht="14.4" x14ac:dyDescent="0.3">
      <c r="A24" s="14">
        <v>10100</v>
      </c>
      <c r="B24" s="14">
        <v>10104</v>
      </c>
      <c r="C24" s="22" t="str">
        <f>VLOOKUP(A24, $M9:$N19, 2, FALSE)</f>
        <v>A</v>
      </c>
      <c r="D24" s="22" t="str">
        <f>VLOOKUP(B24, $M9:$N19, 2, FALSE)</f>
        <v>C</v>
      </c>
      <c r="E24" s="22">
        <f>VLOOKUP(C24,A9:J18,4,FALSE)</f>
        <v>-1</v>
      </c>
    </row>
    <row r="25" spans="1:14" ht="14.4" x14ac:dyDescent="0.3">
      <c r="A25" s="14">
        <v>10108</v>
      </c>
      <c r="B25" s="14">
        <v>10102</v>
      </c>
      <c r="C25" s="22" t="str">
        <f>VLOOKUP(A25, $M9:$N20, 2, FALSE)</f>
        <v>E</v>
      </c>
      <c r="D25" s="22" t="str">
        <f>VLOOKUP(B25, $M9:$N20, 2, FALSE)</f>
        <v>B</v>
      </c>
      <c r="E25" s="22">
        <f>VLOOKUP(C25,A9:J18,3,FALSE)</f>
        <v>160</v>
      </c>
    </row>
    <row r="26" spans="1:14" ht="14.4" x14ac:dyDescent="0.3">
      <c r="A26" s="14">
        <v>10100</v>
      </c>
      <c r="B26" s="14">
        <v>10106</v>
      </c>
      <c r="C26" s="22" t="str">
        <f>VLOOKUP(A26, $M9:$N21, 2, FALSE)</f>
        <v>A</v>
      </c>
      <c r="D26" s="22" t="str">
        <f>VLOOKUP(B26, $M9:$N21, 2, FALSE)</f>
        <v>D</v>
      </c>
      <c r="E26" s="22">
        <f>VLOOKUP(C26,A9:J18,5,FALSE)</f>
        <v>185</v>
      </c>
    </row>
    <row r="27" spans="1:14" ht="14.4" x14ac:dyDescent="0.3">
      <c r="A27" s="14">
        <v>10108</v>
      </c>
      <c r="B27" s="14">
        <v>10110</v>
      </c>
      <c r="C27" s="22" t="str">
        <f>VLOOKUP(A27, $M13:$N22, 2, FALSE)</f>
        <v>E</v>
      </c>
      <c r="D27" s="22" t="str">
        <f>VLOOKUP(B27, $M13:$N22, 2, FALSE)</f>
        <v>F</v>
      </c>
      <c r="E27" s="22">
        <f>VLOOKUP(C27,A9:J18,8,FALSE)</f>
        <v>165</v>
      </c>
    </row>
    <row r="28" spans="1:14" ht="14.4" x14ac:dyDescent="0.3">
      <c r="A28" s="14">
        <v>10102</v>
      </c>
      <c r="B28" s="14">
        <v>10104</v>
      </c>
      <c r="C28" s="22" t="str">
        <f>VLOOKUP(A28, $M9:$N23, 2, FALSE)</f>
        <v>B</v>
      </c>
      <c r="D28" s="22" t="str">
        <f>VLOOKUP(B28, $M9:$N23, 2, FALSE)</f>
        <v>C</v>
      </c>
      <c r="E28" s="22">
        <f>VLOOKUP(C28,A9:J18,4,FALSE)</f>
        <v>-1</v>
      </c>
    </row>
    <row r="29" spans="1:14" ht="14.4" x14ac:dyDescent="0.3">
      <c r="A29" s="14">
        <v>10106</v>
      </c>
      <c r="B29" s="14">
        <v>10108</v>
      </c>
      <c r="C29" s="22" t="str">
        <f>VLOOKUP(A29, $M9:$N24, 2, FALSE)</f>
        <v>D</v>
      </c>
      <c r="D29" s="22" t="str">
        <f>VLOOKUP(B29, $M9:$N24, 2, FALSE)</f>
        <v>E</v>
      </c>
      <c r="E29" s="22">
        <f>VLOOKUP(C29,A9:J18,6,FALSE)</f>
        <v>70</v>
      </c>
    </row>
    <row r="30" spans="1:14" ht="14.4" x14ac:dyDescent="0.3">
      <c r="A30" s="14">
        <v>10102</v>
      </c>
      <c r="B30" s="14">
        <v>10106</v>
      </c>
      <c r="C30" s="22" t="str">
        <f>VLOOKUP(A30, $M9:$N25, 2, FALSE)</f>
        <v>B</v>
      </c>
      <c r="D30" s="22" t="str">
        <f>VLOOKUP(B30, $M9:$N25, 2, FALSE)</f>
        <v>D</v>
      </c>
      <c r="E30" s="22">
        <f>VLOOKUP(C30,A9:J18,5,FALSE)</f>
        <v>90</v>
      </c>
    </row>
    <row r="31" spans="1:14" ht="14.4" x14ac:dyDescent="0.3">
      <c r="A31" s="14">
        <v>10110</v>
      </c>
      <c r="B31" s="14">
        <v>10114</v>
      </c>
      <c r="C31" s="22" t="str">
        <f>VLOOKUP(A31, $M9:$N26, 2, FALSE)</f>
        <v>F</v>
      </c>
      <c r="D31" s="22" t="str">
        <f>VLOOKUP(B31, $M9:$N26, 2, FALSE)</f>
        <v>H</v>
      </c>
      <c r="E31" s="22">
        <f>VLOOKUP(C31,A9:J18,9,FALSE)</f>
        <v>180</v>
      </c>
    </row>
    <row r="32" spans="1:14" ht="14.4" x14ac:dyDescent="0.3">
      <c r="A32" s="14">
        <v>10104</v>
      </c>
      <c r="B32" s="14">
        <v>10106</v>
      </c>
      <c r="C32" s="22" t="str">
        <f>VLOOKUP(A32, $M9:$N27, 2, FALSE)</f>
        <v>C</v>
      </c>
      <c r="D32" s="22" t="str">
        <f>VLOOKUP(B32, $M9:$N27, 2, FALSE)</f>
        <v>D</v>
      </c>
      <c r="E32" s="22">
        <f>VLOOKUP(C32,A9:J18,5,FALSE)</f>
        <v>60</v>
      </c>
    </row>
    <row r="33" spans="1:5" ht="14.4" x14ac:dyDescent="0.3">
      <c r="A33" s="14">
        <v>10110</v>
      </c>
      <c r="B33" s="14">
        <v>10112</v>
      </c>
      <c r="C33" s="22" t="str">
        <f>VLOOKUP(A33, $M9:$N28, 2, FALSE)</f>
        <v>F</v>
      </c>
      <c r="D33" s="22" t="str">
        <f>VLOOKUP(B33, $M9:$N28, 2, FALSE)</f>
        <v>G</v>
      </c>
      <c r="E33" s="22">
        <f>VLOOKUP(C33,A9:J18,8,FALSE)</f>
        <v>115</v>
      </c>
    </row>
    <row r="34" spans="1:5" ht="14.4" x14ac:dyDescent="0.3">
      <c r="A34" s="14">
        <v>10100</v>
      </c>
      <c r="B34" s="14">
        <v>10114</v>
      </c>
      <c r="C34" s="22" t="str">
        <f>VLOOKUP(A34, $M9:$N29, 2, FALSE)</f>
        <v>A</v>
      </c>
      <c r="D34" s="22" t="str">
        <f>VLOOKUP(B34, $M9:$N29, 2, FALSE)</f>
        <v>H</v>
      </c>
      <c r="E34" s="22">
        <f>VLOOKUP(C34,A9:J18,9,FALSE)</f>
        <v>480</v>
      </c>
    </row>
    <row r="35" spans="1:5" ht="14.4" x14ac:dyDescent="0.3">
      <c r="A35" s="14">
        <v>10112</v>
      </c>
      <c r="B35" s="14">
        <v>10116</v>
      </c>
      <c r="C35" s="22" t="str">
        <f>VLOOKUP(A35, $M9:$N30, 2, FALSE)</f>
        <v>G</v>
      </c>
      <c r="D35" s="22" t="str">
        <f>VLOOKUP(B35, $M9:$N30, 2, FALSE)</f>
        <v>I</v>
      </c>
      <c r="E35" s="22">
        <f>VLOOKUP(C35,A9:J18,10,FALSE)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rahul rana</cp:lastModifiedBy>
  <dcterms:created xsi:type="dcterms:W3CDTF">2015-02-10T17:33:11Z</dcterms:created>
  <dcterms:modified xsi:type="dcterms:W3CDTF">2023-12-09T10:59:34Z</dcterms:modified>
</cp:coreProperties>
</file>